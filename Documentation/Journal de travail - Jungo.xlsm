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1570" windowHeight="808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l="1"/>
  <c r="B4" i="1" l="1"/>
  <c r="B5" i="1"/>
  <c r="B6" i="1" l="1"/>
  <c r="B7" i="1"/>
  <c r="B8" i="1"/>
  <c r="B9" i="1"/>
  <c r="B10" i="1"/>
  <c r="B11" i="1"/>
  <c r="B14" i="1"/>
  <c r="B13" i="1"/>
  <c r="B12" i="1"/>
</calcChain>
</file>

<file path=xl/sharedStrings.xml><?xml version="1.0" encoding="utf-8"?>
<sst xmlns="http://schemas.openxmlformats.org/spreadsheetml/2006/main" count="42" uniqueCount="27">
  <si>
    <t>Description</t>
  </si>
  <si>
    <t>Remarques/problèmes</t>
  </si>
  <si>
    <t>Jour</t>
  </si>
  <si>
    <t>Temps [h]</t>
  </si>
  <si>
    <t>Type</t>
  </si>
  <si>
    <t>Types de tâches</t>
  </si>
  <si>
    <t>Analyse</t>
  </si>
  <si>
    <t>Implémentation</t>
  </si>
  <si>
    <t>Tests</t>
  </si>
  <si>
    <t>Documentation</t>
  </si>
  <si>
    <t>Absence</t>
  </si>
  <si>
    <t>Total général</t>
  </si>
  <si>
    <t>Semaine</t>
  </si>
  <si>
    <t>Somme de Temps [h]</t>
  </si>
  <si>
    <t>Introduction du Pré-TPI avec M. Favre. Prise de connaissances du CDC, j'ai contacté le chef de projet pour les questions et les points flous sur le projet. Commencement du journal de travail et du rapport de projet.</t>
  </si>
  <si>
    <t>Documentation analyse préliminaire, quelques points suivant mantionné dans l'issue "Documentation" et mise en page.</t>
  </si>
  <si>
    <t>J'ai fait le Wireframe pour pc et smartphone. J'ai revu et modifié le Zoning. J'ai fait le MCD, le MLD et intégration à la documentation</t>
  </si>
  <si>
    <t>J'ai essayé une solution pour le Wireframe mais j'ai opté pour un autre logiciel en partageant avec Léo Zmoss, j'ai aussi apporté des modifications sur le Zoning</t>
  </si>
  <si>
    <t xml:space="preserve">J'ai fait un peu de mise en page. Début du Sprint 2 (Conception), j'ai fait un Zoning et un schéma de navigation Web. </t>
  </si>
  <si>
    <t>J'ai fini la planification Iinitiale en Gantt et la documentation analyse préliminaire</t>
  </si>
  <si>
    <t>J'ai mis en place la planification détaillée sur GitHub et j'ai fait l'installation des logiciels à utiliser durant le projet.</t>
  </si>
  <si>
    <t>J'ai continué sur les Wireframes. J'ai fait le MCD et commencé le MLD. Retour avec le chef de projet pour la clôture des sprint. Ajout du journal de bord</t>
  </si>
  <si>
    <t>J'ai fait le MLD à la maison</t>
  </si>
  <si>
    <t>J'ai continué sur les Wireframes et j'ai continué la documentation</t>
  </si>
  <si>
    <t>J'ai exporté en images le schéma de navigation, le Zoning, le MCD et le MLD que j'ai intègré à la documentation.</t>
  </si>
  <si>
    <t>Moins 1.50 h sur le projet</t>
  </si>
  <si>
    <t>Plus 1.50 h sur le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</si>
</sst>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59.426115625" createdVersion="4" refreshedVersion="4" minRefreshableVersion="3" recordCount="4">
  <cacheSource type="worksheet">
    <worksheetSource ref="A1:D14" sheet="Journal"/>
  </cacheSource>
  <cacheFields count="4">
    <cacheField name="Jour" numFmtId="16">
      <sharedItems containsSemiMixedTypes="0" containsNonDate="0" containsDate="1" containsString="0" minDate="2018-01-01T00:00:00" maxDate="2018-01-02T00:00:00" count="1">
        <d v="2018-01-01T00:00:00"/>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0" maxValue="0"/>
    </cacheField>
    <cacheField name="Type" numFmtId="0">
      <sharedItems count="4">
        <s v="Analyse"/>
        <s v="Documentation"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
  <r>
    <x v="0"/>
    <n v="1"/>
    <n v="0"/>
    <x v="0"/>
  </r>
  <r>
    <x v="0"/>
    <n v="1"/>
    <n v="0"/>
    <x v="0"/>
  </r>
  <r>
    <x v="0"/>
    <n v="1"/>
    <n v="0"/>
    <x v="0"/>
  </r>
  <r>
    <x v="0"/>
    <n v="1"/>
    <n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2">
        <item x="0"/>
        <item t="default"/>
      </items>
    </pivotField>
    <pivotField showAll="0"/>
    <pivotField dataField="1" showAll="0"/>
    <pivotField axis="axisCol" showAll="0">
      <items count="5">
        <item m="1" x="1"/>
        <item m="1" x="2"/>
        <item x="0"/>
        <item m="1" x="3"/>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14"/>
  <sheetViews>
    <sheetView tabSelected="1" topLeftCell="B1" workbookViewId="0">
      <selection activeCell="F7" sqref="F7"/>
    </sheetView>
  </sheetViews>
  <sheetFormatPr baseColWidth="10" defaultColWidth="9.140625" defaultRowHeight="15" x14ac:dyDescent="0.25"/>
  <cols>
    <col min="1" max="1" width="7.140625" style="8" bestFit="1" customWidth="1"/>
    <col min="2" max="2" width="8.140625" style="20" bestFit="1" customWidth="1"/>
    <col min="3" max="3" width="10.5703125" style="16" bestFit="1" customWidth="1"/>
    <col min="4" max="4" width="14.7109375" style="8" bestFit="1" customWidth="1"/>
    <col min="5" max="5" width="84.85546875" style="17" bestFit="1" customWidth="1"/>
    <col min="6" max="6" width="75.140625" style="17" customWidth="1"/>
    <col min="7" max="16384" width="9.140625" style="11"/>
  </cols>
  <sheetData>
    <row r="1" spans="1:9" ht="24" customHeight="1" x14ac:dyDescent="0.25">
      <c r="A1" s="6" t="s">
        <v>2</v>
      </c>
      <c r="B1" s="18" t="s">
        <v>12</v>
      </c>
      <c r="C1" s="9" t="s">
        <v>3</v>
      </c>
      <c r="D1" s="6" t="s">
        <v>4</v>
      </c>
      <c r="E1" s="10" t="s">
        <v>0</v>
      </c>
      <c r="F1" s="10" t="s">
        <v>1</v>
      </c>
    </row>
    <row r="2" spans="1:9" x14ac:dyDescent="0.25">
      <c r="A2" s="7"/>
      <c r="B2" s="19">
        <f t="shared" ref="B2" si="0">WEEKNUM(A2)</f>
        <v>0</v>
      </c>
      <c r="C2" s="12">
        <v>3</v>
      </c>
      <c r="D2" s="13" t="s">
        <v>6</v>
      </c>
      <c r="E2" s="14"/>
      <c r="F2" s="14"/>
      <c r="I2" s="15"/>
    </row>
    <row r="3" spans="1:9" x14ac:dyDescent="0.25">
      <c r="A3" s="7"/>
      <c r="B3" s="19">
        <f t="shared" ref="B3" si="1">WEEKNUM(A3)</f>
        <v>0</v>
      </c>
      <c r="C3" s="12">
        <v>3</v>
      </c>
      <c r="D3" s="13" t="s">
        <v>6</v>
      </c>
      <c r="E3" s="14"/>
      <c r="F3" s="14" t="s">
        <v>25</v>
      </c>
      <c r="I3" s="15"/>
    </row>
    <row r="4" spans="1:9" ht="30" x14ac:dyDescent="0.25">
      <c r="A4" s="7">
        <v>43887</v>
      </c>
      <c r="B4" s="19">
        <f t="shared" ref="B4" si="2">WEEKNUM(A4)</f>
        <v>9</v>
      </c>
      <c r="C4" s="12">
        <v>2.25</v>
      </c>
      <c r="D4" s="13" t="s">
        <v>9</v>
      </c>
      <c r="E4" s="14" t="s">
        <v>24</v>
      </c>
      <c r="F4" s="14"/>
      <c r="I4" s="15"/>
    </row>
    <row r="5" spans="1:9" x14ac:dyDescent="0.25">
      <c r="A5" s="7">
        <v>43886</v>
      </c>
      <c r="B5" s="19">
        <f t="shared" ref="B5" si="3">WEEKNUM(A5)</f>
        <v>9</v>
      </c>
      <c r="C5" s="12">
        <v>1.5</v>
      </c>
      <c r="D5" s="13" t="s">
        <v>9</v>
      </c>
      <c r="E5" s="14" t="s">
        <v>23</v>
      </c>
      <c r="F5" s="14"/>
      <c r="I5" s="15"/>
    </row>
    <row r="6" spans="1:9" x14ac:dyDescent="0.25">
      <c r="A6" s="7">
        <v>43882</v>
      </c>
      <c r="B6" s="19">
        <f t="shared" ref="B6" si="4">WEEKNUM(A6)</f>
        <v>8</v>
      </c>
      <c r="C6" s="12">
        <v>1</v>
      </c>
      <c r="D6" s="13" t="s">
        <v>9</v>
      </c>
      <c r="E6" s="14" t="s">
        <v>22</v>
      </c>
      <c r="F6" s="14"/>
      <c r="I6" s="15"/>
    </row>
    <row r="7" spans="1:9" ht="30" x14ac:dyDescent="0.25">
      <c r="A7" s="7">
        <v>43875</v>
      </c>
      <c r="B7" s="19">
        <f t="shared" ref="B7" si="5">WEEKNUM(A7)</f>
        <v>7</v>
      </c>
      <c r="C7" s="12">
        <v>1.5</v>
      </c>
      <c r="D7" s="13" t="s">
        <v>9</v>
      </c>
      <c r="E7" s="14" t="s">
        <v>21</v>
      </c>
      <c r="F7" s="14" t="s">
        <v>26</v>
      </c>
      <c r="I7" s="15"/>
    </row>
    <row r="8" spans="1:9" ht="30" x14ac:dyDescent="0.25">
      <c r="A8" s="7">
        <v>43874</v>
      </c>
      <c r="B8" s="19">
        <f t="shared" ref="B8" si="6">WEEKNUM(A8)</f>
        <v>7</v>
      </c>
      <c r="C8" s="12">
        <v>5.25</v>
      </c>
      <c r="D8" s="13" t="s">
        <v>9</v>
      </c>
      <c r="E8" s="14" t="s">
        <v>16</v>
      </c>
      <c r="F8" s="14"/>
      <c r="I8" s="15"/>
    </row>
    <row r="9" spans="1:9" ht="30" x14ac:dyDescent="0.25">
      <c r="A9" s="7">
        <v>43873</v>
      </c>
      <c r="B9" s="19">
        <f t="shared" ref="B9:B14" si="7">WEEKNUM(A9)</f>
        <v>7</v>
      </c>
      <c r="C9" s="12">
        <v>2.25</v>
      </c>
      <c r="D9" s="13" t="s">
        <v>9</v>
      </c>
      <c r="E9" s="14" t="s">
        <v>17</v>
      </c>
      <c r="F9" s="14"/>
      <c r="I9" s="15"/>
    </row>
    <row r="10" spans="1:9" ht="30" x14ac:dyDescent="0.25">
      <c r="A10" s="7">
        <v>43872</v>
      </c>
      <c r="B10" s="19">
        <f t="shared" si="7"/>
        <v>7</v>
      </c>
      <c r="C10" s="12">
        <v>3</v>
      </c>
      <c r="D10" s="13" t="s">
        <v>6</v>
      </c>
      <c r="E10" s="14" t="s">
        <v>18</v>
      </c>
      <c r="F10" s="14"/>
      <c r="I10" s="15"/>
    </row>
    <row r="11" spans="1:9" ht="30" x14ac:dyDescent="0.25">
      <c r="A11" s="7">
        <v>43868</v>
      </c>
      <c r="B11" s="19">
        <f t="shared" si="7"/>
        <v>6</v>
      </c>
      <c r="C11" s="12">
        <v>1.5</v>
      </c>
      <c r="D11" s="13" t="s">
        <v>9</v>
      </c>
      <c r="E11" s="14" t="s">
        <v>15</v>
      </c>
      <c r="F11" s="14"/>
      <c r="I11" s="15"/>
    </row>
    <row r="12" spans="1:9" x14ac:dyDescent="0.25">
      <c r="A12" s="7">
        <v>43867</v>
      </c>
      <c r="B12" s="19">
        <f t="shared" si="7"/>
        <v>6</v>
      </c>
      <c r="C12" s="12">
        <v>5.25</v>
      </c>
      <c r="D12" s="13" t="s">
        <v>9</v>
      </c>
      <c r="E12" s="14" t="s">
        <v>19</v>
      </c>
      <c r="F12" s="14"/>
      <c r="I12" s="15"/>
    </row>
    <row r="13" spans="1:9" ht="30" x14ac:dyDescent="0.25">
      <c r="A13" s="7">
        <v>43866</v>
      </c>
      <c r="B13" s="19">
        <f t="shared" si="7"/>
        <v>6</v>
      </c>
      <c r="C13" s="12">
        <v>2.25</v>
      </c>
      <c r="D13" s="13" t="s">
        <v>6</v>
      </c>
      <c r="E13" s="14" t="s">
        <v>20</v>
      </c>
      <c r="F13" s="14"/>
      <c r="I13" s="15"/>
    </row>
    <row r="14" spans="1:9" ht="45" x14ac:dyDescent="0.25">
      <c r="A14" s="7">
        <v>43865</v>
      </c>
      <c r="B14" s="19">
        <f t="shared" si="7"/>
        <v>6</v>
      </c>
      <c r="C14" s="12">
        <v>3</v>
      </c>
      <c r="D14" s="13" t="s">
        <v>6</v>
      </c>
      <c r="E14" s="14" t="s">
        <v>14</v>
      </c>
      <c r="F14" s="14"/>
      <c r="I14" s="15"/>
    </row>
  </sheetData>
  <sheetProtection selectLockedCells="1"/>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D2:D14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C3" sqref="C3"/>
    </sheetView>
  </sheetViews>
  <sheetFormatPr baseColWidth="10" defaultRowHeight="15" x14ac:dyDescent="0.25"/>
  <cols>
    <col min="1" max="1" width="19.85546875" bestFit="1" customWidth="1"/>
    <col min="2" max="2" width="8" bestFit="1" customWidth="1"/>
    <col min="3" max="3" width="12.57031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13</v>
      </c>
    </row>
    <row r="4" spans="1:3" x14ac:dyDescent="0.25">
      <c r="B4" t="s">
        <v>6</v>
      </c>
      <c r="C4" t="s">
        <v>11</v>
      </c>
    </row>
    <row r="5" spans="1:3" x14ac:dyDescent="0.25">
      <c r="A5" s="5">
        <v>43101</v>
      </c>
      <c r="B5" s="3">
        <v>0</v>
      </c>
      <c r="C5" s="3">
        <v>0</v>
      </c>
    </row>
    <row r="6" spans="1:3" x14ac:dyDescent="0.25">
      <c r="A6" s="5" t="s">
        <v>11</v>
      </c>
      <c r="B6" s="3">
        <v>0</v>
      </c>
      <c r="C6" s="3">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2020-02-26T07:58:57Z</dcterms:modified>
</cp:coreProperties>
</file>