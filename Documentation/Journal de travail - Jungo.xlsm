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filterPrivacy="1" codeName="ThisWorkbook" hidePivotFieldList="1"/>
  <xr:revisionPtr revIDLastSave="0" documentId="13_ncr:1_{676FDC0D-0BF0-436A-88AA-BCCB45084BBF}" xr6:coauthVersionLast="44" xr6:coauthVersionMax="44" xr10:uidLastSave="{00000000-0000-0000-0000-000000000000}"/>
  <bookViews>
    <workbookView xWindow="-120" yWindow="-120" windowWidth="29040" windowHeight="15840" xr2:uid="{00000000-000D-0000-FFFF-FFFF00000000}"/>
  </bookViews>
  <sheets>
    <sheet name="Journal" sheetId="1" r:id="rId1"/>
    <sheet name="Totaux" sheetId="4" r:id="rId2"/>
    <sheet name="Paramètres" sheetId="2" r:id="rId3"/>
  </sheets>
  <calcPr calcId="191029"/>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c r="B6" i="1" l="1"/>
  <c r="B7" i="1" l="1"/>
  <c r="B8" i="1"/>
  <c r="B9" i="1" l="1"/>
  <c r="B10" i="1"/>
  <c r="B11" i="1"/>
  <c r="B12" i="1" l="1"/>
  <c r="B13" i="1"/>
  <c r="B15" i="1" l="1"/>
  <c r="B14" i="1"/>
  <c r="B16" i="1" l="1"/>
  <c r="B17" i="1" l="1"/>
  <c r="B18" i="1" l="1"/>
  <c r="B19" i="1"/>
  <c r="B20" i="1" l="1"/>
  <c r="B21" i="1"/>
  <c r="B22" i="1" l="1"/>
  <c r="B23" i="1" l="1"/>
  <c r="B24" i="1" l="1"/>
  <c r="B25" i="1" l="1"/>
  <c r="B26" i="1" l="1"/>
  <c r="B27" i="1"/>
  <c r="B28" i="1" l="1"/>
  <c r="B29" i="1"/>
  <c r="B30" i="1"/>
  <c r="B31" i="1"/>
  <c r="B32" i="1"/>
  <c r="B33" i="1"/>
  <c r="B36" i="1"/>
  <c r="B35" i="1"/>
  <c r="B34" i="1"/>
</calcChain>
</file>

<file path=xl/sharedStrings.xml><?xml version="1.0" encoding="utf-8"?>
<sst xmlns="http://schemas.openxmlformats.org/spreadsheetml/2006/main" count="95" uniqueCount="58">
  <si>
    <t>Description</t>
  </si>
  <si>
    <t>Remarques/problèmes</t>
  </si>
  <si>
    <t>Jour</t>
  </si>
  <si>
    <t>Temps [h]</t>
  </si>
  <si>
    <t>Type</t>
  </si>
  <si>
    <t>Types de tâches</t>
  </si>
  <si>
    <t>Analyse</t>
  </si>
  <si>
    <t>Implémentation</t>
  </si>
  <si>
    <t>Tests</t>
  </si>
  <si>
    <t>Documentation</t>
  </si>
  <si>
    <t>Absence</t>
  </si>
  <si>
    <t>Total général</t>
  </si>
  <si>
    <t>Semaine</t>
  </si>
  <si>
    <t>Somme de Temps [h]</t>
  </si>
  <si>
    <t>Introduction du Pré-TPI avec M. Favre. Prise de connaissances du CDC, j'ai contacté le chef de projet pour les questions et les points flous sur le projet. Commencement du journal de travail et du rapport de projet.</t>
  </si>
  <si>
    <t>Documentation analyse préliminaire, quelques points suivant mantionné dans l'issue "Documentation" et mise en page.</t>
  </si>
  <si>
    <t>J'ai fait le Wireframe pour pc et smartphone. J'ai revu et modifié le Zoning. J'ai fait le MCD, le MLD et intégration à la documentation</t>
  </si>
  <si>
    <t>J'ai essayé une solution pour le Wireframe mais j'ai opté pour un autre logiciel en partageant avec Léo Zmoss, j'ai aussi apporté des modifications sur le Zoning</t>
  </si>
  <si>
    <t xml:space="preserve">J'ai fait un peu de mise en page. Début du Sprint 2 (Conception), j'ai fait un Zoning et un schéma de navigation Web. </t>
  </si>
  <si>
    <t>J'ai fini la planification Iinitiale en Gantt et la documentation analyse préliminaire</t>
  </si>
  <si>
    <t>J'ai mis en place la planification détaillée sur GitHub et j'ai fait l'installation des logiciels à utiliser durant le projet.</t>
  </si>
  <si>
    <t>J'ai continué sur les Wireframes. J'ai fait le MCD et commencé le MLD. Retour avec le chef de projet pour la clôture des sprint. Ajout du journal de bord</t>
  </si>
  <si>
    <t>J'ai fait le MLD à la maison</t>
  </si>
  <si>
    <t>J'ai continué sur les Wireframes et j'ai continué la documentation</t>
  </si>
  <si>
    <t>J'ai exporté en images le schéma de navigation, le Zoning, le MCD et le MLD que j'ai intègré à la documentation.</t>
  </si>
  <si>
    <t>Plus 1.50 h sur le projet</t>
  </si>
  <si>
    <t>Moins 1.50 h sur le projet / 2 jours de retard sur la planification initiale</t>
  </si>
  <si>
    <t>J'ai terminé les Wireframes et les intègrer à la documentation.  J'ai revu le MCD et MLD avec M. Benzonana et M. Yawo</t>
  </si>
  <si>
    <t>J'ai revu le MCD et MLD avec M. Benzonana et j'ai pu ajouté la possibbilité de nouvelles fonctionalités de jeux</t>
  </si>
  <si>
    <t>Je n'avais pas encore compris ce qu'il fallait mettre dans le MCD et MLD et ceci a impacté les Wireframes</t>
  </si>
  <si>
    <t>J'ai fini le MCD, MLD et les modifications sur les Wireframes et cloture des sprints 1 et 2</t>
  </si>
  <si>
    <t>5 jours de retards sur le sprint 2</t>
  </si>
  <si>
    <t>J'ai eu le recrutement</t>
  </si>
  <si>
    <t>J'ai un service system session services qui occupe le port 80</t>
  </si>
  <si>
    <t>J'ai eu un sprint review avec mon chef de projet. J'ai refait le Zoning, le schéma de navigation et des modifications sur les wireframes</t>
  </si>
  <si>
    <t>J'ai eu un problème avec le wampserver, j'ai demandé de l'aide à M. Ithurbide pour ne pas perdre trop de temps. J'ai commencé le MVC et le gabarit.</t>
  </si>
  <si>
    <t>J'ai continué sur le gabarit et la page accueil. J'ai créé la page d'inscription et la page de connexion. J'ai fait le script de création de la base de données. J'ai demandé la documentation des scénarios à M. Benzonana</t>
  </si>
  <si>
    <t>Documentation des scénarios montré le vendredi 06.03.2020 par M. Benzonana</t>
  </si>
  <si>
    <t>J'ai continué sur la page de connexion. Préparation des futurs tâches dans le sprint 3</t>
  </si>
  <si>
    <t>J'ai eu un problème avec l'utilisation de la fonction pour me connecté à la base de données, il m'a fallut 2 périodes… J'ai fait les pages de statistiques mais incomplet n'ayant pas fait de partie. J'ai commencé la page d'inscription mais j'ai un problème dans ma fonction en Javascript qui vérifie les 2 champs de mot de passe, M. Konoutse a essayé de m'aider à le résoudre mais non résolut en 2 périodes.</t>
  </si>
  <si>
    <t>Entrevue avec le chef de projet et j'ai continué sur le register avec les conseils de M. benzonana</t>
  </si>
  <si>
    <t>A faire un partie de documentation sur ce problème</t>
  </si>
  <si>
    <t>J'ai préparé mon environement de travail personnel sans l'utilisation de WAMP. J'ai eu des problèmes avec le xdebug et avec MySQL server 8.0.19, Dorian m'a aidé à mettre tout ça en place.</t>
  </si>
  <si>
    <t>J'ai continué avec l'installation de l'environnement de travail personnel. J'ai eu des problèmes de connexion avec la basede données et la création d'un utilisateur dédié via un script</t>
  </si>
  <si>
    <t>M. Benzonana m'a aidé à corriger les problèmes de configuration de mon environnement de travail personnel afin d'avoir quelque chose de fonctionnel et pour me permettre d'avancer dans mon développement</t>
  </si>
  <si>
    <t>M. Benzonana met M. Meylan m'ont aider à appliquer la fonctionnalité de calculs aléatoires, j'ai demandé de l'aide par manque de connaissance pratique et non logique</t>
  </si>
  <si>
    <t>Je me suis réorganisé sur le projet et j'ai avancé la documentation de mon projet</t>
  </si>
  <si>
    <t>J'ai continué sur mon mode de jeu guidé</t>
  </si>
  <si>
    <t>J'ai continué à débugger avec l'aide de M. Benzonana ma fonctionnalité de login</t>
  </si>
  <si>
    <t>J'ai continué sur le mode de jeu guidé et sur le problème de la base données. J'ai légèrement réussi à avancer sur le mode de jeu mais j'ai pas réussi à résoudre le problème avec la base de données</t>
  </si>
  <si>
    <t>Entrevue avec le chef de projet qui m'ai donné du codes afin que je puisse avancer dans mon projet. J'ai résolut les problèmes du mode guidé et de la connexion des utilisateurs</t>
  </si>
  <si>
    <t>L'inscription ne fonctionne pas problème de gestion des valeurs</t>
  </si>
  <si>
    <t>J'ai avancé sur le mode de jeu guidé.</t>
  </si>
  <si>
    <t>J'ai continué sur le mode de jeu guidé pour sauvegarder les statistiques de la partie et les mettre dans la base de données. J'ai beaucoup de difficulté avec le tableau à 3 dimensions. J'ai fait beaucoup de recherche mais pas résolut.</t>
  </si>
  <si>
    <t>J'avais pas rempli donc peu de précisions sur mes actions</t>
  </si>
  <si>
    <t>J'ai essayé de résoudre mon problème avec le tableau mais j'ai pas réussit</t>
  </si>
  <si>
    <t>J'ai passé au journal de bord et documentation pour la fin de mon Pré-TPI</t>
  </si>
  <si>
    <t>Présentation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</si>
</sst>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1">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3159.426115625" createdVersion="4" refreshedVersion="4" minRefreshableVersion="3" recordCount="4" xr:uid="{00000000-000A-0000-FFFF-FFFF00000000}">
  <cacheSource type="worksheet">
    <worksheetSource ref="A1:D36"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36"/>
  <sheetViews>
    <sheetView tabSelected="1" workbookViewId="0">
      <selection activeCell="E2" sqref="E2"/>
    </sheetView>
  </sheetViews>
  <sheetFormatPr baseColWidth="10" defaultColWidth="9.140625" defaultRowHeight="15" x14ac:dyDescent="0.25"/>
  <cols>
    <col min="1" max="1" width="10.140625" style="8" bestFit="1" customWidth="1"/>
    <col min="2" max="2" width="9.5703125" style="20" bestFit="1" customWidth="1"/>
    <col min="3" max="3" width="10.5703125" style="16" bestFit="1" customWidth="1"/>
    <col min="4" max="4" width="14.7109375" style="8" bestFit="1" customWidth="1"/>
    <col min="5" max="5" width="84.85546875" style="17" bestFit="1" customWidth="1"/>
    <col min="6" max="6" width="75.140625" style="17" customWidth="1"/>
    <col min="7" max="16384" width="9.140625" style="11"/>
  </cols>
  <sheetData>
    <row r="1" spans="1:9" ht="24" customHeight="1" x14ac:dyDescent="0.25">
      <c r="A1" s="6" t="s">
        <v>2</v>
      </c>
      <c r="B1" s="18" t="s">
        <v>12</v>
      </c>
      <c r="C1" s="9" t="s">
        <v>3</v>
      </c>
      <c r="D1" s="6" t="s">
        <v>4</v>
      </c>
      <c r="E1" s="10" t="s">
        <v>0</v>
      </c>
      <c r="F1" s="10" t="s">
        <v>1</v>
      </c>
    </row>
    <row r="2" spans="1:9" x14ac:dyDescent="0.25">
      <c r="A2" s="7"/>
      <c r="B2" s="19">
        <f t="shared" ref="B2" si="0">WEEKNUM(A2)</f>
        <v>0</v>
      </c>
      <c r="C2" s="12">
        <v>0</v>
      </c>
      <c r="D2" s="13" t="s">
        <v>9</v>
      </c>
      <c r="E2" s="14" t="s">
        <v>57</v>
      </c>
      <c r="F2" s="14"/>
      <c r="I2" s="15"/>
    </row>
    <row r="3" spans="1:9" x14ac:dyDescent="0.25">
      <c r="A3" s="7">
        <v>43923</v>
      </c>
      <c r="B3" s="19">
        <f t="shared" ref="B3" si="1">WEEKNUM(A3)</f>
        <v>14</v>
      </c>
      <c r="C3" s="12">
        <v>3.75</v>
      </c>
      <c r="D3" s="13" t="s">
        <v>9</v>
      </c>
      <c r="E3" s="14" t="s">
        <v>56</v>
      </c>
      <c r="F3" s="14"/>
      <c r="I3" s="15"/>
    </row>
    <row r="4" spans="1:9" x14ac:dyDescent="0.25">
      <c r="A4" s="7">
        <v>43923</v>
      </c>
      <c r="B4" s="19">
        <f t="shared" ref="B4" si="2">WEEKNUM(A4)</f>
        <v>14</v>
      </c>
      <c r="C4" s="12">
        <v>1.5</v>
      </c>
      <c r="D4" s="13" t="s">
        <v>7</v>
      </c>
      <c r="E4" s="14" t="s">
        <v>55</v>
      </c>
      <c r="F4" s="14"/>
      <c r="I4" s="15"/>
    </row>
    <row r="5" spans="1:9" ht="45" x14ac:dyDescent="0.25">
      <c r="A5" s="7">
        <v>43922</v>
      </c>
      <c r="B5" s="19">
        <f t="shared" ref="B5" si="3">WEEKNUM(A5)</f>
        <v>14</v>
      </c>
      <c r="C5" s="12">
        <v>2.25</v>
      </c>
      <c r="D5" s="13" t="s">
        <v>7</v>
      </c>
      <c r="E5" s="14" t="s">
        <v>53</v>
      </c>
      <c r="F5" s="14"/>
      <c r="I5" s="15"/>
    </row>
    <row r="6" spans="1:9" x14ac:dyDescent="0.25">
      <c r="A6" s="7">
        <v>43921</v>
      </c>
      <c r="B6" s="19">
        <f t="shared" ref="B6" si="4">WEEKNUM(A6)</f>
        <v>14</v>
      </c>
      <c r="C6" s="12">
        <v>3</v>
      </c>
      <c r="D6" s="13" t="s">
        <v>7</v>
      </c>
      <c r="E6" s="14" t="s">
        <v>52</v>
      </c>
      <c r="F6" s="14" t="s">
        <v>54</v>
      </c>
      <c r="I6" s="15"/>
    </row>
    <row r="7" spans="1:9" ht="30" x14ac:dyDescent="0.25">
      <c r="A7" s="7">
        <v>43917</v>
      </c>
      <c r="B7" s="19">
        <f t="shared" ref="B7" si="5">WEEKNUM(A7)</f>
        <v>13</v>
      </c>
      <c r="C7" s="12">
        <v>1.5</v>
      </c>
      <c r="D7" s="13" t="s">
        <v>7</v>
      </c>
      <c r="E7" s="14" t="s">
        <v>50</v>
      </c>
      <c r="F7" s="14" t="s">
        <v>51</v>
      </c>
      <c r="I7" s="15"/>
    </row>
    <row r="8" spans="1:9" ht="45" x14ac:dyDescent="0.25">
      <c r="A8" s="7">
        <v>43916</v>
      </c>
      <c r="B8" s="19">
        <f t="shared" ref="B8" si="6">WEEKNUM(A8)</f>
        <v>13</v>
      </c>
      <c r="C8" s="12">
        <v>5.25</v>
      </c>
      <c r="D8" s="13" t="s">
        <v>7</v>
      </c>
      <c r="E8" s="14" t="s">
        <v>49</v>
      </c>
      <c r="F8" s="14"/>
      <c r="I8" s="15"/>
    </row>
    <row r="9" spans="1:9" x14ac:dyDescent="0.25">
      <c r="A9" s="7">
        <v>43946</v>
      </c>
      <c r="B9" s="19">
        <f t="shared" ref="B9" si="7">WEEKNUM(A9)</f>
        <v>17</v>
      </c>
      <c r="C9" s="12">
        <v>1.5</v>
      </c>
      <c r="D9" s="13" t="s">
        <v>7</v>
      </c>
      <c r="E9" s="14" t="s">
        <v>48</v>
      </c>
      <c r="F9" s="14"/>
      <c r="I9" s="15"/>
    </row>
    <row r="10" spans="1:9" x14ac:dyDescent="0.25">
      <c r="A10" s="7">
        <v>43914</v>
      </c>
      <c r="B10" s="19">
        <f t="shared" ref="B10" si="8">WEEKNUM(A10)</f>
        <v>13</v>
      </c>
      <c r="C10" s="12">
        <v>0.45</v>
      </c>
      <c r="D10" s="13" t="s">
        <v>7</v>
      </c>
      <c r="E10" s="14" t="s">
        <v>47</v>
      </c>
      <c r="F10" s="14"/>
      <c r="I10" s="15"/>
    </row>
    <row r="11" spans="1:9" x14ac:dyDescent="0.25">
      <c r="A11" s="7">
        <v>43914</v>
      </c>
      <c r="B11" s="19">
        <f t="shared" ref="B11" si="9">WEEKNUM(A11)</f>
        <v>13</v>
      </c>
      <c r="C11" s="12">
        <v>2.25</v>
      </c>
      <c r="D11" s="13" t="s">
        <v>9</v>
      </c>
      <c r="E11" s="14" t="s">
        <v>46</v>
      </c>
      <c r="F11" s="14"/>
      <c r="I11" s="15"/>
    </row>
    <row r="12" spans="1:9" ht="30" x14ac:dyDescent="0.25">
      <c r="A12" s="7">
        <v>43910</v>
      </c>
      <c r="B12" s="19">
        <f t="shared" ref="B12" si="10">WEEKNUM(A12)</f>
        <v>12</v>
      </c>
      <c r="C12" s="12">
        <v>1.5</v>
      </c>
      <c r="D12" s="13" t="s">
        <v>7</v>
      </c>
      <c r="E12" s="14" t="s">
        <v>45</v>
      </c>
      <c r="F12" s="14"/>
      <c r="I12" s="15"/>
    </row>
    <row r="13" spans="1:9" ht="45" x14ac:dyDescent="0.25">
      <c r="A13" s="7">
        <v>43909</v>
      </c>
      <c r="B13" s="19">
        <f t="shared" ref="B13" si="11">WEEKNUM(A13)</f>
        <v>12</v>
      </c>
      <c r="C13" s="12">
        <v>5.25</v>
      </c>
      <c r="D13" s="13" t="s">
        <v>7</v>
      </c>
      <c r="E13" s="14" t="s">
        <v>44</v>
      </c>
      <c r="F13" s="14"/>
      <c r="I13" s="15"/>
    </row>
    <row r="14" spans="1:9" ht="45" x14ac:dyDescent="0.25">
      <c r="A14" s="7">
        <v>43908</v>
      </c>
      <c r="B14" s="19">
        <f t="shared" ref="B14" si="12">WEEKNUM(A14)</f>
        <v>12</v>
      </c>
      <c r="C14" s="12">
        <v>2.25</v>
      </c>
      <c r="D14" s="13" t="s">
        <v>7</v>
      </c>
      <c r="E14" s="14" t="s">
        <v>43</v>
      </c>
      <c r="F14" s="14"/>
      <c r="I14" s="15"/>
    </row>
    <row r="15" spans="1:9" ht="45" x14ac:dyDescent="0.25">
      <c r="A15" s="7">
        <v>43907</v>
      </c>
      <c r="B15" s="19">
        <f>WEEKNUM(A15)</f>
        <v>12</v>
      </c>
      <c r="C15" s="12">
        <v>3</v>
      </c>
      <c r="D15" s="13" t="s">
        <v>7</v>
      </c>
      <c r="E15" s="14" t="s">
        <v>42</v>
      </c>
      <c r="F15" s="14" t="s">
        <v>41</v>
      </c>
      <c r="I15" s="15"/>
    </row>
    <row r="16" spans="1:9" ht="30" x14ac:dyDescent="0.25">
      <c r="A16" s="7">
        <v>43903</v>
      </c>
      <c r="B16" s="19">
        <f t="shared" ref="B16" si="13">WEEKNUM(A16)</f>
        <v>11</v>
      </c>
      <c r="C16" s="12">
        <v>1.5</v>
      </c>
      <c r="D16" s="13" t="s">
        <v>7</v>
      </c>
      <c r="E16" s="14" t="s">
        <v>40</v>
      </c>
      <c r="F16" s="14"/>
      <c r="I16" s="15"/>
    </row>
    <row r="17" spans="1:9" ht="75" x14ac:dyDescent="0.25">
      <c r="A17" s="7">
        <v>43902</v>
      </c>
      <c r="B17" s="19">
        <f t="shared" ref="B17" si="14">WEEKNUM(A17)</f>
        <v>11</v>
      </c>
      <c r="C17" s="12">
        <v>5.25</v>
      </c>
      <c r="D17" s="13" t="s">
        <v>7</v>
      </c>
      <c r="E17" s="14" t="s">
        <v>39</v>
      </c>
      <c r="F17" s="14"/>
      <c r="I17" s="15"/>
    </row>
    <row r="18" spans="1:9" x14ac:dyDescent="0.25">
      <c r="A18" s="7">
        <v>43901</v>
      </c>
      <c r="B18" s="19">
        <f t="shared" ref="B18" si="15">WEEKNUM(A18)</f>
        <v>11</v>
      </c>
      <c r="C18" s="12">
        <v>2.25</v>
      </c>
      <c r="D18" s="13" t="s">
        <v>7</v>
      </c>
      <c r="E18" s="14" t="s">
        <v>38</v>
      </c>
      <c r="F18" s="14"/>
      <c r="I18" s="15"/>
    </row>
    <row r="19" spans="1:9" ht="45" x14ac:dyDescent="0.25">
      <c r="A19" s="7">
        <v>43900</v>
      </c>
      <c r="B19" s="19">
        <f t="shared" ref="B19" si="16">WEEKNUM(A19)</f>
        <v>11</v>
      </c>
      <c r="C19" s="12">
        <v>3</v>
      </c>
      <c r="D19" s="13" t="s">
        <v>7</v>
      </c>
      <c r="E19" s="14" t="s">
        <v>36</v>
      </c>
      <c r="F19" s="14" t="s">
        <v>37</v>
      </c>
      <c r="I19" s="15"/>
    </row>
    <row r="20" spans="1:9" ht="30" x14ac:dyDescent="0.25">
      <c r="A20" s="7">
        <v>43896</v>
      </c>
      <c r="B20" s="19">
        <f t="shared" ref="B20" si="17">WEEKNUM(A20)</f>
        <v>10</v>
      </c>
      <c r="C20" s="12">
        <v>1.5</v>
      </c>
      <c r="D20" s="13" t="s">
        <v>9</v>
      </c>
      <c r="E20" s="14" t="s">
        <v>34</v>
      </c>
      <c r="F20" s="14"/>
      <c r="I20" s="15"/>
    </row>
    <row r="21" spans="1:9" ht="30" x14ac:dyDescent="0.25">
      <c r="A21" s="7">
        <v>43895</v>
      </c>
      <c r="B21" s="19">
        <f t="shared" ref="B21" si="18">WEEKNUM(A21)</f>
        <v>10</v>
      </c>
      <c r="C21" s="12">
        <v>5.25</v>
      </c>
      <c r="D21" s="13" t="s">
        <v>7</v>
      </c>
      <c r="E21" s="14" t="s">
        <v>35</v>
      </c>
      <c r="F21" s="14" t="s">
        <v>33</v>
      </c>
      <c r="I21" s="15"/>
    </row>
    <row r="22" spans="1:9" x14ac:dyDescent="0.25">
      <c r="A22" s="7">
        <v>43894</v>
      </c>
      <c r="B22" s="19">
        <f t="shared" ref="B22" si="19">WEEKNUM(A22)</f>
        <v>10</v>
      </c>
      <c r="C22" s="12">
        <v>2.25</v>
      </c>
      <c r="D22" s="13" t="s">
        <v>10</v>
      </c>
      <c r="E22" s="14" t="s">
        <v>32</v>
      </c>
      <c r="F22" s="14"/>
      <c r="I22" s="15"/>
    </row>
    <row r="23" spans="1:9" x14ac:dyDescent="0.25">
      <c r="A23" s="7">
        <v>43893</v>
      </c>
      <c r="B23" s="19">
        <f t="shared" ref="B23" si="20">WEEKNUM(A23)</f>
        <v>10</v>
      </c>
      <c r="C23" s="12">
        <v>3</v>
      </c>
      <c r="D23" s="13" t="s">
        <v>9</v>
      </c>
      <c r="E23" s="14" t="s">
        <v>30</v>
      </c>
      <c r="F23" s="14" t="s">
        <v>31</v>
      </c>
      <c r="I23" s="15"/>
    </row>
    <row r="24" spans="1:9" ht="30" x14ac:dyDescent="0.25">
      <c r="A24" s="7">
        <v>43889</v>
      </c>
      <c r="B24" s="19">
        <f t="shared" ref="B24" si="21">WEEKNUM(A24)</f>
        <v>9</v>
      </c>
      <c r="C24" s="12">
        <v>1.5</v>
      </c>
      <c r="D24" s="13" t="s">
        <v>9</v>
      </c>
      <c r="E24" s="14" t="s">
        <v>28</v>
      </c>
      <c r="F24" s="14" t="s">
        <v>29</v>
      </c>
      <c r="I24" s="15"/>
    </row>
    <row r="25" spans="1:9" ht="30" x14ac:dyDescent="0.25">
      <c r="A25" s="7">
        <v>43888</v>
      </c>
      <c r="B25" s="19">
        <f t="shared" ref="B25" si="22">WEEKNUM(A25)</f>
        <v>9</v>
      </c>
      <c r="C25" s="12">
        <v>4.75</v>
      </c>
      <c r="D25" s="13" t="s">
        <v>9</v>
      </c>
      <c r="E25" s="14" t="s">
        <v>27</v>
      </c>
      <c r="F25" s="14" t="s">
        <v>26</v>
      </c>
      <c r="I25" s="15"/>
    </row>
    <row r="26" spans="1:9" ht="30" x14ac:dyDescent="0.25">
      <c r="A26" s="7">
        <v>43887</v>
      </c>
      <c r="B26" s="19">
        <f t="shared" ref="B26" si="23">WEEKNUM(A26)</f>
        <v>9</v>
      </c>
      <c r="C26" s="12">
        <v>2.25</v>
      </c>
      <c r="D26" s="13" t="s">
        <v>9</v>
      </c>
      <c r="E26" s="14" t="s">
        <v>24</v>
      </c>
      <c r="F26" s="14"/>
      <c r="I26" s="15"/>
    </row>
    <row r="27" spans="1:9" x14ac:dyDescent="0.25">
      <c r="A27" s="7">
        <v>43886</v>
      </c>
      <c r="B27" s="19">
        <f t="shared" ref="B27" si="24">WEEKNUM(A27)</f>
        <v>9</v>
      </c>
      <c r="C27" s="12">
        <v>1.5</v>
      </c>
      <c r="D27" s="13" t="s">
        <v>9</v>
      </c>
      <c r="E27" s="14" t="s">
        <v>23</v>
      </c>
      <c r="F27" s="14"/>
      <c r="I27" s="15"/>
    </row>
    <row r="28" spans="1:9" x14ac:dyDescent="0.25">
      <c r="A28" s="7">
        <v>43882</v>
      </c>
      <c r="B28" s="19">
        <f t="shared" ref="B28" si="25">WEEKNUM(A28)</f>
        <v>8</v>
      </c>
      <c r="C28" s="12">
        <v>1</v>
      </c>
      <c r="D28" s="13" t="s">
        <v>9</v>
      </c>
      <c r="E28" s="14" t="s">
        <v>22</v>
      </c>
      <c r="F28" s="14"/>
      <c r="I28" s="15"/>
    </row>
    <row r="29" spans="1:9" ht="30" x14ac:dyDescent="0.25">
      <c r="A29" s="7">
        <v>43875</v>
      </c>
      <c r="B29" s="19">
        <f t="shared" ref="B29" si="26">WEEKNUM(A29)</f>
        <v>7</v>
      </c>
      <c r="C29" s="12">
        <v>1.5</v>
      </c>
      <c r="D29" s="13" t="s">
        <v>9</v>
      </c>
      <c r="E29" s="14" t="s">
        <v>21</v>
      </c>
      <c r="F29" s="14" t="s">
        <v>25</v>
      </c>
      <c r="I29" s="15"/>
    </row>
    <row r="30" spans="1:9" ht="30" x14ac:dyDescent="0.25">
      <c r="A30" s="7">
        <v>43874</v>
      </c>
      <c r="B30" s="19">
        <f t="shared" ref="B30" si="27">WEEKNUM(A30)</f>
        <v>7</v>
      </c>
      <c r="C30" s="12">
        <v>5.25</v>
      </c>
      <c r="D30" s="13" t="s">
        <v>9</v>
      </c>
      <c r="E30" s="14" t="s">
        <v>16</v>
      </c>
      <c r="F30" s="14"/>
      <c r="I30" s="15"/>
    </row>
    <row r="31" spans="1:9" ht="30" x14ac:dyDescent="0.25">
      <c r="A31" s="7">
        <v>43873</v>
      </c>
      <c r="B31" s="19">
        <f t="shared" ref="B31:B36" si="28">WEEKNUM(A31)</f>
        <v>7</v>
      </c>
      <c r="C31" s="12">
        <v>2.25</v>
      </c>
      <c r="D31" s="13" t="s">
        <v>9</v>
      </c>
      <c r="E31" s="14" t="s">
        <v>17</v>
      </c>
      <c r="F31" s="14"/>
      <c r="I31" s="15"/>
    </row>
    <row r="32" spans="1:9" ht="30" x14ac:dyDescent="0.25">
      <c r="A32" s="7">
        <v>43872</v>
      </c>
      <c r="B32" s="19">
        <f t="shared" si="28"/>
        <v>7</v>
      </c>
      <c r="C32" s="12">
        <v>3</v>
      </c>
      <c r="D32" s="13" t="s">
        <v>6</v>
      </c>
      <c r="E32" s="14" t="s">
        <v>18</v>
      </c>
      <c r="F32" s="14"/>
      <c r="I32" s="15"/>
    </row>
    <row r="33" spans="1:9" ht="30" x14ac:dyDescent="0.25">
      <c r="A33" s="7">
        <v>43868</v>
      </c>
      <c r="B33" s="19">
        <f t="shared" si="28"/>
        <v>6</v>
      </c>
      <c r="C33" s="12">
        <v>1.5</v>
      </c>
      <c r="D33" s="13" t="s">
        <v>9</v>
      </c>
      <c r="E33" s="14" t="s">
        <v>15</v>
      </c>
      <c r="F33" s="14"/>
      <c r="I33" s="15"/>
    </row>
    <row r="34" spans="1:9" x14ac:dyDescent="0.25">
      <c r="A34" s="7">
        <v>43867</v>
      </c>
      <c r="B34" s="19">
        <f t="shared" si="28"/>
        <v>6</v>
      </c>
      <c r="C34" s="12">
        <v>5.25</v>
      </c>
      <c r="D34" s="13" t="s">
        <v>9</v>
      </c>
      <c r="E34" s="14" t="s">
        <v>19</v>
      </c>
      <c r="F34" s="14"/>
      <c r="I34" s="15"/>
    </row>
    <row r="35" spans="1:9" ht="30" x14ac:dyDescent="0.25">
      <c r="A35" s="7">
        <v>43866</v>
      </c>
      <c r="B35" s="19">
        <f t="shared" si="28"/>
        <v>6</v>
      </c>
      <c r="C35" s="12">
        <v>2.25</v>
      </c>
      <c r="D35" s="13" t="s">
        <v>6</v>
      </c>
      <c r="E35" s="14" t="s">
        <v>20</v>
      </c>
      <c r="F35" s="14"/>
      <c r="I35" s="15"/>
    </row>
    <row r="36" spans="1:9" ht="45" x14ac:dyDescent="0.25">
      <c r="A36" s="7">
        <v>43865</v>
      </c>
      <c r="B36" s="19">
        <f t="shared" si="28"/>
        <v>6</v>
      </c>
      <c r="C36" s="12">
        <v>3</v>
      </c>
      <c r="D36" s="13" t="s">
        <v>6</v>
      </c>
      <c r="E36" s="14" t="s">
        <v>14</v>
      </c>
      <c r="F36" s="14"/>
      <c r="I36" s="15"/>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Paramètres!$A$2:$A$6</xm:f>
          </x14:formula1>
          <xm:sqref>D2:D36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le2"/>
  <dimension ref="A3:C6"/>
  <sheetViews>
    <sheetView workbookViewId="0">
      <selection activeCell="C3" sqref="C3"/>
    </sheetView>
  </sheetViews>
  <sheetFormatPr baseColWidth="10" defaultRowHeight="15" x14ac:dyDescent="0.25"/>
  <cols>
    <col min="1" max="1" width="19.85546875" bestFit="1" customWidth="1"/>
    <col min="2" max="2" width="8" bestFit="1" customWidth="1"/>
    <col min="3" max="3" width="12.57031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6"/>
  <sheetViews>
    <sheetView workbookViewId="0">
      <selection activeCell="B18" sqref="B18"/>
    </sheetView>
  </sheetViews>
  <sheetFormatPr baseColWidth="10" defaultRowHeight="15" x14ac:dyDescent="0.25"/>
  <cols>
    <col min="1" max="1" width="15.425781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2020-04-02T07:38:20Z</dcterms:modified>
</cp:coreProperties>
</file>